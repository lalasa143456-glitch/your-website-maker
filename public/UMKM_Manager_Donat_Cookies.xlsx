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ingkasan" state="visible" r:id="rId4"/>
    <sheet sheetId="2" name="Produk &amp; Stok" state="visible" r:id="rId5"/>
    <sheet sheetId="3" name="Pesanan &amp; Penjualan" state="visible" r:id="rId6"/>
    <sheet sheetId="4" name="Arus Kas" state="visible" r:id="rId7"/>
  </sheets>
  <calcPr calcId="171027"/>
</workbook>
</file>

<file path=xl/sharedStrings.xml><?xml version="1.0" encoding="utf-8"?>
<sst xmlns="http://schemas.openxmlformats.org/spreadsheetml/2006/main" count="124" uniqueCount="101">
  <si>
    <t>📊 DASHBOARD BISNIS UMKM — DONAT &amp; COOKIES BEKASI</t>
  </si>
  <si>
    <t>Dokumen Pembukuan Otomatis Terhubung dengan Website UMKM Manager</t>
  </si>
  <si>
    <t>RINGKASAN ARUS KAS &amp; OMZET</t>
  </si>
  <si>
    <t>RINGKASAN OPERASIONAL TOKO</t>
  </si>
  <si>
    <t>Total Pemasukan (Omzet)</t>
  </si>
  <si>
    <t>Total Menu Terdaftar</t>
  </si>
  <si>
    <t>Total Pengeluaran (Beban/Bahan)</t>
  </si>
  <si>
    <t>Total Transaksi Pesanan</t>
  </si>
  <si>
    <t>Estimasi Laba Bersih</t>
  </si>
  <si>
    <t>Total Estimasi Aset Stok</t>
  </si>
  <si>
    <t xml:space="preserve">💡 CARA MENGHUBUNGKAN DOKUMEN INI KE GOOGLE SHEETS &amp; WEBSITE:
1. Buka Google Drive (drive.google.com) lalu Upload file spreadsheet (.xlsx) ini.
2. Buka filenya di Google Sheets -&gt; Klik menu 'Ekstensi' -&gt; 'Apps Script'.
3. Tempel kode dari file 'google-sheets-script.js' di proyek Anda lalu simpan.
4. Menu '🍩 UMKM Manager' otomatis akan muncul di bar atas spreadsheet ini untuk sinkronisasi!</t>
  </si>
  <si>
    <t>ID Produk</t>
  </si>
  <si>
    <t>Nama Produk</t>
  </si>
  <si>
    <t>Kategori</t>
  </si>
  <si>
    <t>Harga (Rp)</t>
  </si>
  <si>
    <t>Stok</t>
  </si>
  <si>
    <t>Terjual</t>
  </si>
  <si>
    <t>Nilai Stok (Rp)</t>
  </si>
  <si>
    <t>Terakhir Diperbarui</t>
  </si>
  <si>
    <t>PRD-DONAT-1</t>
  </si>
  <si>
    <t>Donat Klasik Gula Salju</t>
  </si>
  <si>
    <t>Donat</t>
  </si>
  <si>
    <t>Hari Ini</t>
  </si>
  <si>
    <t>PRD-DONAT-2</t>
  </si>
  <si>
    <t>Donat Bomboloni Nutella Lumer</t>
  </si>
  <si>
    <t>PRD-DONAT-3</t>
  </si>
  <si>
    <t>Donat Tiramisu Almond Crunch</t>
  </si>
  <si>
    <t>PRD-COOKIE-1</t>
  </si>
  <si>
    <t>Classic Choco Chip Cookies</t>
  </si>
  <si>
    <t>Cookies</t>
  </si>
  <si>
    <t>PRD-COOKIE-2</t>
  </si>
  <si>
    <t>Red Velvet Marshmallow Cookies</t>
  </si>
  <si>
    <t>PRD-COOKIE-3</t>
  </si>
  <si>
    <t>Matcha White Choco Cookies</t>
  </si>
  <si>
    <t>PRD-PASTRY-1</t>
  </si>
  <si>
    <t>Croissant Butter Almond Flaky</t>
  </si>
  <si>
    <t>Pastry</t>
  </si>
  <si>
    <t>PRD-DRINK-1</t>
  </si>
  <si>
    <t>Iced Creamy Latte Gula Aren</t>
  </si>
  <si>
    <t>Minuman</t>
  </si>
  <si>
    <t>ID Pesanan</t>
  </si>
  <si>
    <t>Nama Pelanggan</t>
  </si>
  <si>
    <t>Menu / Produk Dipesan</t>
  </si>
  <si>
    <t>Total Pembayaran (Rp)</t>
  </si>
  <si>
    <t>Status</t>
  </si>
  <si>
    <t>Waktu Transaksi</t>
  </si>
  <si>
    <t>Catatan Pembeli</t>
  </si>
  <si>
    <t>ORD-101</t>
  </si>
  <si>
    <t>Dinda (Bekasi Barat)</t>
  </si>
  <si>
    <t>Donat Bomboloni Nutella Lumer (2 pcs)</t>
  </si>
  <si>
    <t>Selesai</t>
  </si>
  <si>
    <t>Hari Ini, 08:30</t>
  </si>
  <si>
    <t>Gula halus banyakin ya</t>
  </si>
  <si>
    <t>ORD-102</t>
  </si>
  <si>
    <t>Bimo (Summarecon Bekasi)</t>
  </si>
  <si>
    <t>Red Velvet Marshmallow Cookies (3 pcs)</t>
  </si>
  <si>
    <t>Proses</t>
  </si>
  <si>
    <t>Hari Ini, 09:15</t>
  </si>
  <si>
    <t>Kirim kurir instan</t>
  </si>
  <si>
    <t>ORD-103</t>
  </si>
  <si>
    <t>Kak Sarah (Rawalumbu)</t>
  </si>
  <si>
    <t>Box Donat Mix Hemat 6 pcs</t>
  </si>
  <si>
    <t>Hari Ini, 10:00</t>
  </si>
  <si>
    <t>Untuk arisan kantor</t>
  </si>
  <si>
    <t>ORD-104</t>
  </si>
  <si>
    <t>Mas Reza (Harapan Indah)</t>
  </si>
  <si>
    <t>Classic Choco Chip Cookies (2 jar)</t>
  </si>
  <si>
    <t>Kemarin, 14:20</t>
  </si>
  <si>
    <t>Packing rapi pakai bubble</t>
  </si>
  <si>
    <t>ORD-105</t>
  </si>
  <si>
    <t>Ibu Endang (Galaxy)</t>
  </si>
  <si>
    <t>Croissant Butter &amp; Latte</t>
  </si>
  <si>
    <t>Pending</t>
  </si>
  <si>
    <t>Kemarin, 16:45</t>
  </si>
  <si>
    <t>Menunggu konfirmasi transfer</t>
  </si>
  <si>
    <t>ID Transaksi</t>
  </si>
  <si>
    <t>Keterangan Transaksi</t>
  </si>
  <si>
    <t>Jenis (in/out)</t>
  </si>
  <si>
    <t>Nominal (Rp)</t>
  </si>
  <si>
    <t>Tanggal</t>
  </si>
  <si>
    <t>TX-201</t>
  </si>
  <si>
    <t>Penjualan ORD-101 (Dinda)</t>
  </si>
  <si>
    <t>in</t>
  </si>
  <si>
    <t>Penjualan</t>
  </si>
  <si>
    <t>TX-202</t>
  </si>
  <si>
    <t>Penjualan ORD-103 (Kak Sarah)</t>
  </si>
  <si>
    <t>TX-203</t>
  </si>
  <si>
    <t>Beli Tepung Terigu Segitiga Biru &amp; Mentega Anchor</t>
  </si>
  <si>
    <t>out</t>
  </si>
  <si>
    <t>Bahan Baku</t>
  </si>
  <si>
    <t>Kemarin, 09:00</t>
  </si>
  <si>
    <t>TX-204</t>
  </si>
  <si>
    <t>Beli Box Kemasan Donat 50 pcs &amp; Kantong Ramah Lingkungan</t>
  </si>
  <si>
    <t>Packaging</t>
  </si>
  <si>
    <t>Kemarin, 11:30</t>
  </si>
  <si>
    <t>TX-205</t>
  </si>
  <si>
    <t>Penjualan ORD-104 (Mas Reza)</t>
  </si>
  <si>
    <t>TX-206</t>
  </si>
  <si>
    <t>Isi Ulang Gas Elpiji 3kg &amp; Listrik</t>
  </si>
  <si>
    <t>Operasional</t>
  </si>
  <si>
    <t>Kemarin,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</si>
</sst>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555555"/>
      <sz val="9"/>
      <name val="Arial"/>
    </font>
    <font>
      <b/>
      <color rgb="FF107C41"/>
      <sz val="11"/>
      <name val="Arial"/>
    </font>
    <font>
      <b/>
      <color rgb="FF2B579A"/>
      <sz val="11"/>
      <name val="Arial"/>
    </font>
    <font>
      <b/>
      <color rgb="FF107C41"/>
    </font>
    <font>
      <b/>
    </font>
    <font>
      <b/>
      <color rgb="FFD83B01"/>
    </font>
    <font>
      <b/>
      <color rgb="FF004B87"/>
      <sz val="12"/>
    </font>
    <font>
      <color rgb="FF333333"/>
      <sz val="9"/>
      <name val="Arial"/>
    </font>
    <font>
      <b/>
      <color rgb="FFFFFFFF"/>
      <sz val="10"/>
    </font>
  </fonts>
  <fills count="6">
    <fill>
      <patternFill patternType="none"/>
    </fill>
    <fill>
      <patternFill patternType="gray125"/>
    </fill>
    <fill>
      <patternFill patternType="solid">
        <fgColor rgb="FF107C41"/>
      </patternFill>
    </fill>
    <fill>
      <patternFill patternType="solid">
        <fgColor rgb="FFF0F7F0"/>
      </patternFill>
    </fill>
    <fill>
      <patternFill patternType="solid">
        <fgColor rgb="FF2B579A"/>
      </patternFill>
    </fill>
    <fill>
      <patternFill patternType="solid">
        <fgColor rgb="FFD83B0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07C41"/>
      </left>
      <right style="medium">
        <color rgb="FF107C41"/>
      </right>
      <top style="medium">
        <color rgb="FF107C41"/>
      </top>
      <bottom style="medium">
        <color rgb="FF107C4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1" xfId="0" applyBorder="1"/>
    <xf numFmtId="164" fontId="5" fillId="0" borderId="1" xfId="0" applyNumberFormat="1" applyFont="1" applyBorder="1"/>
    <xf numFmtId="0" fontId="6" fillId="0" borderId="1" xfId="0" applyFont="1" applyBorder="1"/>
    <xf numFmtId="164" fontId="7" fillId="0" borderId="1" xfId="0" applyNumberFormat="1" applyFont="1" applyBorder="1"/>
    <xf numFmtId="164" fontId="8" fillId="0" borderId="1" xfId="0" applyNumberFormat="1" applyFont="1" applyBorder="1"/>
    <xf numFmtId="0" fontId="9" fillId="3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5" fillId="0" borderId="0" xfId="0" applyNumberFormat="1" applyFont="1"/>
    <xf numFmtId="0" fontId="10" fillId="4" borderId="0" xfId="0" applyFont="1" applyFill="1" applyAlignment="1">
      <alignment horizontal="center" vertical="center"/>
    </xf>
    <xf numFmtId="164" fontId="6" fillId="0" borderId="0" xfId="0" applyNumberFormat="1" applyFont="1"/>
    <xf numFmtId="0" fontId="10" fillId="5" borderId="0" xfId="0" applyFont="1" applyFill="1" applyAlignment="1">
      <alignment horizontal="center" vertical="center"/>
    </xf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7C41"/>
  </sheetPr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24" customWidth="1"/>
    <col min="4" max="4" width="6" customWidth="1"/>
    <col min="5" max="5" width="28" customWidth="1"/>
    <col min="6" max="6" width="24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5" spans="2:5" x14ac:dyDescent="0.25">
      <c r="B5" s="3" t="s">
        <v>2</v>
      </c>
      <c r="E5" s="4" t="s">
        <v>3</v>
      </c>
    </row>
    <row r="6" spans="2:6" x14ac:dyDescent="0.25">
      <c r="B6" s="5" t="s">
        <v>4</v>
      </c>
      <c r="C6" s="6">
        <f>SUMIF('Arus Kas'!C:C, "in", 'Arus Kas'!E:E)</f>
      </c>
      <c r="E6" s="5" t="s">
        <v>5</v>
      </c>
      <c r="F6" s="7">
        <f>COUNTA('Produk &amp; Stok'!A2:A100)</f>
      </c>
    </row>
    <row r="7" spans="2:6" x14ac:dyDescent="0.25">
      <c r="B7" s="5" t="s">
        <v>6</v>
      </c>
      <c r="C7" s="8">
        <f>SUMIF('Arus Kas'!C:C, "out", 'Arus Kas'!E:E)</f>
      </c>
      <c r="E7" s="5" t="s">
        <v>7</v>
      </c>
      <c r="F7" s="7">
        <f>COUNTA('Pesanan &amp; Penjualan'!A2:A100)</f>
      </c>
    </row>
    <row r="8" spans="2:6" x14ac:dyDescent="0.25">
      <c r="B8" s="5" t="s">
        <v>8</v>
      </c>
      <c r="C8" s="9">
        <f>C6-C7</f>
      </c>
      <c r="E8" s="5" t="s">
        <v>9</v>
      </c>
      <c r="F8" s="6">
        <f>SUM('Produk &amp; Stok'!G2:G100)</f>
      </c>
    </row>
    <row r="11" spans="2:6" x14ac:dyDescent="0.25">
      <c r="B11" s="10" t="s">
        <v>10</v>
      </c>
      <c r="C11" s="10"/>
      <c r="D11" s="10"/>
      <c r="E11" s="10"/>
      <c r="F11" s="10"/>
    </row>
    <row r="12" spans="2:6" x14ac:dyDescent="0.25">
      <c r="B12" s="10"/>
      <c r="C12" s="10"/>
      <c r="D12" s="10"/>
      <c r="E12" s="10"/>
      <c r="F12" s="10"/>
    </row>
    <row r="13" spans="2:6" x14ac:dyDescent="0.25">
      <c r="B13" s="10"/>
      <c r="C13" s="10"/>
      <c r="D13" s="10"/>
      <c r="E13" s="10"/>
      <c r="F13" s="10"/>
    </row>
    <row r="14" spans="2:6" x14ac:dyDescent="0.25">
      <c r="B14" s="10"/>
      <c r="C14" s="10"/>
      <c r="D14" s="10"/>
      <c r="E14" s="10"/>
      <c r="F14" s="10"/>
    </row>
  </sheetData>
  <mergeCells count="3">
    <mergeCell ref="B2:F2"/>
    <mergeCell ref="B3:F3"/>
    <mergeCell ref="B11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7C41"/>
  </sheetPr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4" width="16" customWidth="1"/>
    <col min="5" max="6" width="12" customWidth="1"/>
    <col min="7" max="7" width="18" customWidth="1"/>
    <col min="8" max="8" width="22" customWidth="1"/>
  </cols>
  <sheetData>
    <row r="1" ht="28" customHeight="1" spans="1:8" x14ac:dyDescent="0.25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</row>
    <row r="2" spans="1:8" x14ac:dyDescent="0.25">
      <c r="A2" t="s">
        <v>19</v>
      </c>
      <c r="B2" t="s">
        <v>20</v>
      </c>
      <c r="C2" t="s">
        <v>21</v>
      </c>
      <c r="D2" s="12">
        <v>8000</v>
      </c>
      <c r="E2" s="13">
        <v>40</v>
      </c>
      <c r="F2" s="13">
        <v>125</v>
      </c>
      <c r="G2" s="14">
        <f>D2*E2</f>
      </c>
      <c r="H2" t="s">
        <v>22</v>
      </c>
    </row>
    <row r="3" spans="1:8" x14ac:dyDescent="0.25">
      <c r="A3" t="s">
        <v>23</v>
      </c>
      <c r="B3" t="s">
        <v>24</v>
      </c>
      <c r="C3" t="s">
        <v>21</v>
      </c>
      <c r="D3" s="12">
        <v>12000</v>
      </c>
      <c r="E3" s="13">
        <v>25</v>
      </c>
      <c r="F3" s="13">
        <v>94</v>
      </c>
      <c r="G3" s="14">
        <f>D3*E3</f>
      </c>
      <c r="H3" t="s">
        <v>22</v>
      </c>
    </row>
    <row r="4" spans="1:8" x14ac:dyDescent="0.25">
      <c r="A4" t="s">
        <v>25</v>
      </c>
      <c r="B4" t="s">
        <v>26</v>
      </c>
      <c r="C4" t="s">
        <v>21</v>
      </c>
      <c r="D4" s="12">
        <v>11000</v>
      </c>
      <c r="E4" s="13">
        <v>30</v>
      </c>
      <c r="F4" s="13">
        <v>78</v>
      </c>
      <c r="G4" s="14">
        <f>D4*E4</f>
      </c>
      <c r="H4" t="s">
        <v>22</v>
      </c>
    </row>
    <row r="5" spans="1:8" x14ac:dyDescent="0.25">
      <c r="A5" t="s">
        <v>27</v>
      </c>
      <c r="B5" t="s">
        <v>28</v>
      </c>
      <c r="C5" t="s">
        <v>29</v>
      </c>
      <c r="D5" s="12">
        <v>15000</v>
      </c>
      <c r="E5" s="13">
        <v>30</v>
      </c>
      <c r="F5" s="13">
        <v>86</v>
      </c>
      <c r="G5" s="14">
        <f>D5*E5</f>
      </c>
      <c r="H5" t="s">
        <v>22</v>
      </c>
    </row>
    <row r="6" spans="1:8" x14ac:dyDescent="0.25">
      <c r="A6" t="s">
        <v>30</v>
      </c>
      <c r="B6" t="s">
        <v>31</v>
      </c>
      <c r="C6" t="s">
        <v>29</v>
      </c>
      <c r="D6" s="12">
        <v>18000</v>
      </c>
      <c r="E6" s="13">
        <v>20</v>
      </c>
      <c r="F6" s="13">
        <v>62</v>
      </c>
      <c r="G6" s="14">
        <f>D6*E6</f>
      </c>
      <c r="H6" t="s">
        <v>22</v>
      </c>
    </row>
    <row r="7" spans="1:8" x14ac:dyDescent="0.25">
      <c r="A7" t="s">
        <v>32</v>
      </c>
      <c r="B7" t="s">
        <v>33</v>
      </c>
      <c r="C7" t="s">
        <v>29</v>
      </c>
      <c r="D7" s="12">
        <v>16000</v>
      </c>
      <c r="E7" s="13">
        <v>24</v>
      </c>
      <c r="F7" s="13">
        <v>55</v>
      </c>
      <c r="G7" s="14">
        <f>D7*E7</f>
      </c>
      <c r="H7" t="s">
        <v>22</v>
      </c>
    </row>
    <row r="8" spans="1:8" x14ac:dyDescent="0.25">
      <c r="A8" t="s">
        <v>34</v>
      </c>
      <c r="B8" t="s">
        <v>35</v>
      </c>
      <c r="C8" t="s">
        <v>36</v>
      </c>
      <c r="D8" s="12">
        <v>22000</v>
      </c>
      <c r="E8" s="13">
        <v>15</v>
      </c>
      <c r="F8" s="13">
        <v>41</v>
      </c>
      <c r="G8" s="14">
        <f>D8*E8</f>
      </c>
      <c r="H8" t="s">
        <v>22</v>
      </c>
    </row>
    <row r="9" spans="1:8" x14ac:dyDescent="0.25">
      <c r="A9" t="s">
        <v>37</v>
      </c>
      <c r="B9" t="s">
        <v>38</v>
      </c>
      <c r="C9" t="s">
        <v>39</v>
      </c>
      <c r="D9" s="12">
        <v>18000</v>
      </c>
      <c r="E9" s="13">
        <v>50</v>
      </c>
      <c r="F9" s="13">
        <v>110</v>
      </c>
      <c r="G9" s="14">
        <f>D9*E9</f>
      </c>
      <c r="H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579A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34" customWidth="1"/>
    <col min="4" max="4" width="22" customWidth="1"/>
    <col min="5" max="5" width="14" customWidth="1"/>
    <col min="6" max="6" width="20" customWidth="1"/>
    <col min="7" max="7" width="30" customWidth="1"/>
  </cols>
  <sheetData>
    <row r="1" ht="28" customHeight="1" spans="1:7" x14ac:dyDescent="0.25">
      <c r="A1" s="15" t="s">
        <v>40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</row>
    <row r="2" spans="1:7" x14ac:dyDescent="0.25">
      <c r="A2" t="s">
        <v>47</v>
      </c>
      <c r="B2" t="s">
        <v>48</v>
      </c>
      <c r="C2" t="s">
        <v>49</v>
      </c>
      <c r="D2" s="16">
        <v>24000</v>
      </c>
      <c r="E2" s="13" t="s">
        <v>50</v>
      </c>
      <c r="F2" t="s">
        <v>51</v>
      </c>
      <c r="G2" t="s">
        <v>52</v>
      </c>
    </row>
    <row r="3" spans="1:7" x14ac:dyDescent="0.25">
      <c r="A3" t="s">
        <v>53</v>
      </c>
      <c r="B3" t="s">
        <v>54</v>
      </c>
      <c r="C3" t="s">
        <v>55</v>
      </c>
      <c r="D3" s="16">
        <v>54000</v>
      </c>
      <c r="E3" s="13" t="s">
        <v>56</v>
      </c>
      <c r="F3" t="s">
        <v>57</v>
      </c>
      <c r="G3" t="s">
        <v>58</v>
      </c>
    </row>
    <row r="4" spans="1:7" x14ac:dyDescent="0.25">
      <c r="A4" t="s">
        <v>59</v>
      </c>
      <c r="B4" t="s">
        <v>60</v>
      </c>
      <c r="C4" t="s">
        <v>61</v>
      </c>
      <c r="D4" s="16">
        <v>65000</v>
      </c>
      <c r="E4" s="13" t="s">
        <v>50</v>
      </c>
      <c r="F4" t="s">
        <v>62</v>
      </c>
      <c r="G4" t="s">
        <v>63</v>
      </c>
    </row>
    <row r="5" spans="1:7" x14ac:dyDescent="0.25">
      <c r="A5" t="s">
        <v>64</v>
      </c>
      <c r="B5" t="s">
        <v>65</v>
      </c>
      <c r="C5" t="s">
        <v>66</v>
      </c>
      <c r="D5" s="16">
        <v>30000</v>
      </c>
      <c r="E5" s="13" t="s">
        <v>50</v>
      </c>
      <c r="F5" t="s">
        <v>67</v>
      </c>
      <c r="G5" t="s">
        <v>68</v>
      </c>
    </row>
    <row r="6" spans="1:7" x14ac:dyDescent="0.25">
      <c r="A6" t="s">
        <v>69</v>
      </c>
      <c r="B6" t="s">
        <v>70</v>
      </c>
      <c r="C6" t="s">
        <v>71</v>
      </c>
      <c r="D6" s="16">
        <v>40000</v>
      </c>
      <c r="E6" s="13" t="s">
        <v>72</v>
      </c>
      <c r="F6" t="s">
        <v>73</v>
      </c>
      <c r="G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3B01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16" customWidth="1"/>
    <col min="4" max="6" width="18" customWidth="1"/>
  </cols>
  <sheetData>
    <row r="1" ht="28" customHeight="1" spans="1:6" x14ac:dyDescent="0.25">
      <c r="A1" s="17" t="s">
        <v>75</v>
      </c>
      <c r="B1" s="17" t="s">
        <v>76</v>
      </c>
      <c r="C1" s="17" t="s">
        <v>77</v>
      </c>
      <c r="D1" s="17" t="s">
        <v>13</v>
      </c>
      <c r="E1" s="17" t="s">
        <v>78</v>
      </c>
      <c r="F1" s="17" t="s">
        <v>79</v>
      </c>
    </row>
    <row r="2" spans="1:6" x14ac:dyDescent="0.25">
      <c r="A2" t="s">
        <v>80</v>
      </c>
      <c r="B2" t="s">
        <v>81</v>
      </c>
      <c r="C2" s="13" t="s">
        <v>82</v>
      </c>
      <c r="D2" t="s">
        <v>83</v>
      </c>
      <c r="E2" s="14">
        <v>24000</v>
      </c>
      <c r="F2" t="s">
        <v>51</v>
      </c>
    </row>
    <row r="3" spans="1:6" x14ac:dyDescent="0.25">
      <c r="A3" t="s">
        <v>84</v>
      </c>
      <c r="B3" t="s">
        <v>85</v>
      </c>
      <c r="C3" s="13" t="s">
        <v>82</v>
      </c>
      <c r="D3" t="s">
        <v>83</v>
      </c>
      <c r="E3" s="14">
        <v>65000</v>
      </c>
      <c r="F3" t="s">
        <v>62</v>
      </c>
    </row>
    <row r="4" spans="1:6" x14ac:dyDescent="0.25">
      <c r="A4" t="s">
        <v>86</v>
      </c>
      <c r="B4" t="s">
        <v>87</v>
      </c>
      <c r="C4" s="13" t="s">
        <v>88</v>
      </c>
      <c r="D4" t="s">
        <v>89</v>
      </c>
      <c r="E4" s="18">
        <v>85000</v>
      </c>
      <c r="F4" t="s">
        <v>90</v>
      </c>
    </row>
    <row r="5" spans="1:6" x14ac:dyDescent="0.25">
      <c r="A5" t="s">
        <v>91</v>
      </c>
      <c r="B5" t="s">
        <v>92</v>
      </c>
      <c r="C5" s="13" t="s">
        <v>88</v>
      </c>
      <c r="D5" t="s">
        <v>93</v>
      </c>
      <c r="E5" s="18">
        <v>45000</v>
      </c>
      <c r="F5" t="s">
        <v>94</v>
      </c>
    </row>
    <row r="6" spans="1:6" x14ac:dyDescent="0.25">
      <c r="A6" t="s">
        <v>95</v>
      </c>
      <c r="B6" t="s">
        <v>96</v>
      </c>
      <c r="C6" s="13" t="s">
        <v>82</v>
      </c>
      <c r="D6" t="s">
        <v>83</v>
      </c>
      <c r="E6" s="14">
        <v>30000</v>
      </c>
      <c r="F6" t="s">
        <v>67</v>
      </c>
    </row>
    <row r="7" spans="1:6" x14ac:dyDescent="0.25">
      <c r="A7" t="s">
        <v>97</v>
      </c>
      <c r="B7" t="s">
        <v>98</v>
      </c>
      <c r="C7" s="13" t="s">
        <v>88</v>
      </c>
      <c r="D7" t="s">
        <v>99</v>
      </c>
      <c r="E7" s="18">
        <v>35000</v>
      </c>
      <c r="F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Ringkasan</vt:lpstr>
      <vt:lpstr>Produk &amp; Stok</vt:lpstr>
      <vt:lpstr>Pesanan &amp; Penjualan</vt:lpstr>
      <vt:lpstr>Arus Kas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UMKM Manager - Donat &amp; Cookies Bekasi</dc:creator>
  <dc:title/>
  <dc:subject/>
  <dc:description/>
  <cp:keywords/>
  <cp:category/>
  <cp:lastModifiedBy>UMKM Manager</cp:lastModifiedBy>
  <dcterms:created xsi:type="dcterms:W3CDTF">2026-10-13T04:46:50Z</dcterms:created>
  <dcterms:modified xsi:type="dcterms:W3CDTF">2026-10-13T04:46:50Z</dcterms:modified>
</cp:coreProperties>
</file>